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165" documentId="11_E60897F41BE170836B02CE998F75CCDC64E183C8" xr6:coauthVersionLast="47" xr6:coauthVersionMax="47" xr10:uidLastSave="{0EC019BE-52CC-4E4E-9726-0679B6584D14}"/>
  <bookViews>
    <workbookView xWindow="240" yWindow="105" windowWidth="14805" windowHeight="8010" activeTab="5" xr2:uid="{00000000-000D-0000-FFFF-FFFF00000000}"/>
  </bookViews>
  <sheets>
    <sheet name="Block Layout Coordinates" sheetId="6" r:id="rId1"/>
    <sheet name="U-Shaped Coordinates" sheetId="1" r:id="rId2"/>
    <sheet name="Cellular Layout Coordinates" sheetId="4" r:id="rId3"/>
    <sheet name="Load-Distance for Cellular" sheetId="5" r:id="rId4"/>
    <sheet name="Load-Distance for U-Shaped" sheetId="2" r:id="rId5"/>
    <sheet name="Load-Distance for Block Layout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7" l="1"/>
  <c r="D3" i="7"/>
  <c r="D4" i="7"/>
  <c r="D5" i="7"/>
  <c r="D6" i="7"/>
  <c r="D7" i="7"/>
  <c r="D2" i="7"/>
  <c r="D7" i="5"/>
  <c r="D6" i="5"/>
  <c r="D5" i="5"/>
  <c r="D4" i="5"/>
  <c r="D3" i="5"/>
  <c r="D2" i="5"/>
  <c r="D9" i="5" s="1"/>
  <c r="D9" i="2"/>
  <c r="D3" i="2"/>
  <c r="D4" i="2"/>
  <c r="D5" i="2"/>
  <c r="D6" i="2"/>
  <c r="D7" i="2"/>
  <c r="D2" i="2"/>
</calcChain>
</file>

<file path=xl/sharedStrings.xml><?xml version="1.0" encoding="utf-8"?>
<sst xmlns="http://schemas.openxmlformats.org/spreadsheetml/2006/main" count="69" uniqueCount="24">
  <si>
    <t>DEPARTMENT</t>
  </si>
  <si>
    <t>X(ordinate)</t>
  </si>
  <si>
    <t>Y(abscissa)</t>
  </si>
  <si>
    <t>Raw Material Yard</t>
  </si>
  <si>
    <t>Wire Drawing Section</t>
  </si>
  <si>
    <t>Stranding Section</t>
  </si>
  <si>
    <t>Cable Manufacturing</t>
  </si>
  <si>
    <t>Heat Treatment</t>
  </si>
  <si>
    <t>QC Lab</t>
  </si>
  <si>
    <t>Finished Goods Warehouse</t>
  </si>
  <si>
    <t>Utilities</t>
  </si>
  <si>
    <t>Administration</t>
  </si>
  <si>
    <t>From → To</t>
  </si>
  <si>
    <t>Distance</t>
  </si>
  <si>
    <t>Flow</t>
  </si>
  <si>
    <t>Load-Distance</t>
  </si>
  <si>
    <t>Raw Material → Wire</t>
  </si>
  <si>
    <t>Wire → Stranding</t>
  </si>
  <si>
    <t>Stranding → Cable</t>
  </si>
  <si>
    <t>Cable → Heat Treatment</t>
  </si>
  <si>
    <t>Heat Treatment → QC Lab</t>
  </si>
  <si>
    <t>QC Lab → Finished Goods</t>
  </si>
  <si>
    <t>Total=</t>
  </si>
  <si>
    <t>Load–Distance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</si>
</sst>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26B44-F530-4FE8-90B6-25423AEEA63E}">
  <dimension ref="A1:C10"/>
  <sheetViews>
    <sheetView workbookViewId="0">
      <selection activeCell="C11" sqref="C11"/>
    </sheetView>
  </sheetViews>
  <sheetFormatPr defaultRowHeight="15"/>
  <cols>
    <col min="1" max="1" width="24.42578125" customWidth="1"/>
    <col min="2" max="2" width="11.7109375" customWidth="1"/>
    <col min="3" max="3" width="10.85546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>
        <v>0</v>
      </c>
    </row>
    <row r="3" spans="1:3">
      <c r="A3" t="s">
        <v>4</v>
      </c>
      <c r="B3">
        <v>10</v>
      </c>
      <c r="C3">
        <v>0</v>
      </c>
    </row>
    <row r="4" spans="1:3">
      <c r="A4" t="s">
        <v>5</v>
      </c>
      <c r="B4">
        <v>20</v>
      </c>
      <c r="C4">
        <v>0</v>
      </c>
    </row>
    <row r="5" spans="1:3">
      <c r="A5" t="s">
        <v>6</v>
      </c>
      <c r="B5">
        <v>30</v>
      </c>
      <c r="C5">
        <v>0</v>
      </c>
    </row>
    <row r="6" spans="1:3">
      <c r="A6" t="s">
        <v>7</v>
      </c>
      <c r="B6">
        <v>30</v>
      </c>
      <c r="C6">
        <v>10</v>
      </c>
    </row>
    <row r="7" spans="1:3">
      <c r="A7" t="s">
        <v>8</v>
      </c>
      <c r="B7">
        <v>40</v>
      </c>
      <c r="C7">
        <v>10</v>
      </c>
    </row>
    <row r="8" spans="1:3">
      <c r="A8" t="s">
        <v>9</v>
      </c>
      <c r="B8">
        <v>50</v>
      </c>
      <c r="C8">
        <v>10</v>
      </c>
    </row>
    <row r="9" spans="1:3">
      <c r="A9" t="s">
        <v>10</v>
      </c>
      <c r="B9">
        <v>20</v>
      </c>
      <c r="C9">
        <v>10</v>
      </c>
    </row>
    <row r="10" spans="1:3">
      <c r="A10" t="s">
        <v>11</v>
      </c>
      <c r="B10">
        <v>40</v>
      </c>
      <c r="C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C13" sqref="C13"/>
    </sheetView>
  </sheetViews>
  <sheetFormatPr defaultRowHeight="15"/>
  <cols>
    <col min="1" max="1" width="24.42578125" customWidth="1"/>
    <col min="2" max="2" width="11.7109375" customWidth="1"/>
    <col min="3" max="3" width="10.85546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>
        <v>0</v>
      </c>
    </row>
    <row r="3" spans="1:3">
      <c r="A3" t="s">
        <v>4</v>
      </c>
      <c r="B3">
        <v>10</v>
      </c>
      <c r="C3">
        <v>0</v>
      </c>
    </row>
    <row r="4" spans="1:3">
      <c r="A4" t="s">
        <v>5</v>
      </c>
      <c r="B4">
        <v>20</v>
      </c>
      <c r="C4">
        <v>0</v>
      </c>
    </row>
    <row r="5" spans="1:3">
      <c r="A5" t="s">
        <v>6</v>
      </c>
      <c r="B5">
        <v>30</v>
      </c>
      <c r="C5">
        <v>0</v>
      </c>
    </row>
    <row r="6" spans="1:3">
      <c r="A6" t="s">
        <v>11</v>
      </c>
      <c r="B6">
        <v>40</v>
      </c>
      <c r="C6">
        <v>0</v>
      </c>
    </row>
    <row r="7" spans="1:3">
      <c r="A7" t="s">
        <v>10</v>
      </c>
      <c r="B7">
        <v>40</v>
      </c>
      <c r="C7">
        <v>10</v>
      </c>
    </row>
    <row r="8" spans="1:3">
      <c r="A8" t="s">
        <v>9</v>
      </c>
      <c r="B8">
        <v>30</v>
      </c>
      <c r="C8">
        <v>20</v>
      </c>
    </row>
    <row r="9" spans="1:3">
      <c r="A9" t="s">
        <v>8</v>
      </c>
      <c r="B9">
        <v>20</v>
      </c>
      <c r="C9">
        <v>20</v>
      </c>
    </row>
    <row r="10" spans="1:3">
      <c r="A10" t="s">
        <v>7</v>
      </c>
      <c r="B10">
        <v>10</v>
      </c>
      <c r="C10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9DCF5-A394-4BF1-B8A9-B7967E0C5716}">
  <dimension ref="A1:C10"/>
  <sheetViews>
    <sheetView workbookViewId="0">
      <selection activeCell="C11" sqref="C11"/>
    </sheetView>
  </sheetViews>
  <sheetFormatPr defaultRowHeight="15"/>
  <cols>
    <col min="1" max="1" width="24.42578125" customWidth="1"/>
    <col min="2" max="2" width="11.7109375" customWidth="1"/>
    <col min="3" max="3" width="10.85546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>
        <v>10</v>
      </c>
    </row>
    <row r="3" spans="1:3">
      <c r="A3" t="s">
        <v>4</v>
      </c>
      <c r="B3">
        <v>10</v>
      </c>
      <c r="C3">
        <v>10</v>
      </c>
    </row>
    <row r="4" spans="1:3">
      <c r="A4" t="s">
        <v>5</v>
      </c>
      <c r="B4">
        <v>20</v>
      </c>
      <c r="C4">
        <v>10</v>
      </c>
    </row>
    <row r="5" spans="1:3">
      <c r="A5" t="s">
        <v>6</v>
      </c>
      <c r="B5">
        <v>30</v>
      </c>
      <c r="C5">
        <v>10</v>
      </c>
    </row>
    <row r="6" spans="1:3">
      <c r="A6" t="s">
        <v>11</v>
      </c>
      <c r="B6">
        <v>10</v>
      </c>
      <c r="C6">
        <v>0</v>
      </c>
    </row>
    <row r="7" spans="1:3">
      <c r="A7" t="s">
        <v>10</v>
      </c>
      <c r="B7">
        <v>20</v>
      </c>
      <c r="C7">
        <v>0</v>
      </c>
    </row>
    <row r="8" spans="1:3">
      <c r="A8" t="s">
        <v>9</v>
      </c>
      <c r="B8">
        <v>30</v>
      </c>
      <c r="C8">
        <v>0</v>
      </c>
    </row>
    <row r="9" spans="1:3">
      <c r="A9" t="s">
        <v>8</v>
      </c>
      <c r="B9">
        <v>15</v>
      </c>
      <c r="C9">
        <v>5</v>
      </c>
    </row>
    <row r="10" spans="1:3">
      <c r="A10" t="s">
        <v>7</v>
      </c>
      <c r="B10">
        <v>35</v>
      </c>
      <c r="C10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24E9B-6E4D-4731-A4F1-382BB61956C4}">
  <dimension ref="A1:D9"/>
  <sheetViews>
    <sheetView workbookViewId="0"/>
  </sheetViews>
  <sheetFormatPr defaultRowHeight="15"/>
  <cols>
    <col min="1" max="1" width="23.7109375" customWidth="1"/>
    <col min="4" max="4" width="13.7109375" customWidth="1"/>
  </cols>
  <sheetData>
    <row r="1" spans="1:4">
      <c r="A1" s="1" t="s">
        <v>12</v>
      </c>
      <c r="B1" s="1" t="s">
        <v>13</v>
      </c>
      <c r="C1" s="1" t="s">
        <v>14</v>
      </c>
      <c r="D1" s="1" t="s">
        <v>15</v>
      </c>
    </row>
    <row r="2" spans="1:4">
      <c r="A2" t="s">
        <v>16</v>
      </c>
      <c r="B2">
        <v>10</v>
      </c>
      <c r="C2">
        <v>120</v>
      </c>
      <c r="D2">
        <f>PRODUCT(B2:C2)</f>
        <v>1200</v>
      </c>
    </row>
    <row r="3" spans="1:4">
      <c r="A3" t="s">
        <v>17</v>
      </c>
      <c r="B3">
        <v>10</v>
      </c>
      <c r="C3">
        <v>90</v>
      </c>
      <c r="D3">
        <f t="shared" ref="D3:D7" si="0">PRODUCT(B3:C3)</f>
        <v>900</v>
      </c>
    </row>
    <row r="4" spans="1:4">
      <c r="A4" t="s">
        <v>18</v>
      </c>
      <c r="B4">
        <v>10</v>
      </c>
      <c r="C4">
        <v>70</v>
      </c>
      <c r="D4">
        <f t="shared" si="0"/>
        <v>700</v>
      </c>
    </row>
    <row r="5" spans="1:4">
      <c r="A5" t="s">
        <v>19</v>
      </c>
      <c r="B5">
        <v>20</v>
      </c>
      <c r="C5">
        <v>40</v>
      </c>
      <c r="D5">
        <f t="shared" si="0"/>
        <v>800</v>
      </c>
    </row>
    <row r="6" spans="1:4">
      <c r="A6" t="s">
        <v>20</v>
      </c>
      <c r="B6">
        <v>10</v>
      </c>
      <c r="C6">
        <v>35</v>
      </c>
      <c r="D6">
        <f t="shared" si="0"/>
        <v>350</v>
      </c>
    </row>
    <row r="7" spans="1:4">
      <c r="A7" t="s">
        <v>21</v>
      </c>
      <c r="B7">
        <v>10</v>
      </c>
      <c r="C7">
        <v>30</v>
      </c>
      <c r="D7">
        <f t="shared" si="0"/>
        <v>300</v>
      </c>
    </row>
    <row r="9" spans="1:4">
      <c r="C9" t="s">
        <v>22</v>
      </c>
      <c r="D9">
        <f>SUM(D2:D7)</f>
        <v>4250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FECBD-56FD-4AE0-B685-09D8BB86161A}">
  <dimension ref="A1:D9"/>
  <sheetViews>
    <sheetView workbookViewId="0">
      <selection activeCell="D10" sqref="D10"/>
    </sheetView>
  </sheetViews>
  <sheetFormatPr defaultRowHeight="15"/>
  <cols>
    <col min="1" max="1" width="23.7109375" customWidth="1"/>
    <col min="4" max="4" width="13.7109375" customWidth="1"/>
  </cols>
  <sheetData>
    <row r="1" spans="1:4">
      <c r="A1" s="1" t="s">
        <v>12</v>
      </c>
      <c r="B1" s="1" t="s">
        <v>13</v>
      </c>
      <c r="C1" s="1" t="s">
        <v>14</v>
      </c>
      <c r="D1" s="1" t="s">
        <v>15</v>
      </c>
    </row>
    <row r="2" spans="1:4">
      <c r="A2" t="s">
        <v>16</v>
      </c>
      <c r="B2">
        <v>10</v>
      </c>
      <c r="C2">
        <v>120</v>
      </c>
      <c r="D2">
        <f>PRODUCT(B2:C2)</f>
        <v>1200</v>
      </c>
    </row>
    <row r="3" spans="1:4">
      <c r="A3" t="s">
        <v>17</v>
      </c>
      <c r="B3">
        <v>10</v>
      </c>
      <c r="C3">
        <v>90</v>
      </c>
      <c r="D3">
        <f t="shared" ref="D3:D7" si="0">PRODUCT(B3:C3)</f>
        <v>900</v>
      </c>
    </row>
    <row r="4" spans="1:4">
      <c r="A4" t="s">
        <v>18</v>
      </c>
      <c r="B4">
        <v>10</v>
      </c>
      <c r="C4">
        <v>70</v>
      </c>
      <c r="D4">
        <f t="shared" si="0"/>
        <v>700</v>
      </c>
    </row>
    <row r="5" spans="1:4">
      <c r="A5" t="s">
        <v>19</v>
      </c>
      <c r="B5">
        <v>20</v>
      </c>
      <c r="C5">
        <v>40</v>
      </c>
      <c r="D5">
        <f t="shared" si="0"/>
        <v>800</v>
      </c>
    </row>
    <row r="6" spans="1:4">
      <c r="A6" t="s">
        <v>20</v>
      </c>
      <c r="B6">
        <v>10</v>
      </c>
      <c r="C6">
        <v>35</v>
      </c>
      <c r="D6">
        <f t="shared" si="0"/>
        <v>350</v>
      </c>
    </row>
    <row r="7" spans="1:4">
      <c r="A7" t="s">
        <v>21</v>
      </c>
      <c r="B7">
        <v>10</v>
      </c>
      <c r="C7">
        <v>30</v>
      </c>
      <c r="D7">
        <f t="shared" si="0"/>
        <v>300</v>
      </c>
    </row>
    <row r="9" spans="1:4">
      <c r="C9" t="s">
        <v>22</v>
      </c>
      <c r="D9">
        <f>SUM(D2:D7)</f>
        <v>4250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7A27B-7FFA-4897-AEB3-789B8C8D04E1}">
  <dimension ref="A1:D9"/>
  <sheetViews>
    <sheetView workbookViewId="0">
      <selection activeCell="D10" sqref="D10"/>
    </sheetView>
  </sheetViews>
  <sheetFormatPr defaultRowHeight="15"/>
  <cols>
    <col min="1" max="1" width="23.7109375" customWidth="1"/>
    <col min="2" max="2" width="7.42578125" customWidth="1"/>
    <col min="4" max="4" width="13.28515625" customWidth="1"/>
  </cols>
  <sheetData>
    <row r="1" spans="1:4">
      <c r="A1" s="1" t="s">
        <v>12</v>
      </c>
      <c r="B1" s="1" t="s">
        <v>14</v>
      </c>
      <c r="C1" s="1" t="s">
        <v>13</v>
      </c>
      <c r="D1" s="1" t="s">
        <v>23</v>
      </c>
    </row>
    <row r="2" spans="1:4">
      <c r="A2" t="s">
        <v>16</v>
      </c>
      <c r="B2">
        <v>120</v>
      </c>
      <c r="C2">
        <v>10</v>
      </c>
      <c r="D2">
        <f>PRODUCT(B2:C2)</f>
        <v>1200</v>
      </c>
    </row>
    <row r="3" spans="1:4">
      <c r="A3" t="s">
        <v>17</v>
      </c>
      <c r="B3">
        <v>90</v>
      </c>
      <c r="C3">
        <v>10</v>
      </c>
      <c r="D3">
        <f t="shared" ref="D3:D7" si="0">PRODUCT(B3:C3)</f>
        <v>900</v>
      </c>
    </row>
    <row r="4" spans="1:4">
      <c r="A4" t="s">
        <v>18</v>
      </c>
      <c r="B4">
        <v>70</v>
      </c>
      <c r="C4">
        <v>10</v>
      </c>
      <c r="D4">
        <f t="shared" si="0"/>
        <v>700</v>
      </c>
    </row>
    <row r="5" spans="1:4">
      <c r="A5" t="s">
        <v>19</v>
      </c>
      <c r="B5">
        <v>40</v>
      </c>
      <c r="C5">
        <v>10</v>
      </c>
      <c r="D5">
        <f t="shared" si="0"/>
        <v>400</v>
      </c>
    </row>
    <row r="6" spans="1:4">
      <c r="A6" t="s">
        <v>20</v>
      </c>
      <c r="B6">
        <v>35</v>
      </c>
      <c r="C6">
        <v>10</v>
      </c>
      <c r="D6">
        <f t="shared" si="0"/>
        <v>350</v>
      </c>
    </row>
    <row r="7" spans="1:4">
      <c r="A7" t="s">
        <v>21</v>
      </c>
      <c r="B7">
        <v>30</v>
      </c>
      <c r="C7">
        <v>10</v>
      </c>
      <c r="D7">
        <f t="shared" si="0"/>
        <v>300</v>
      </c>
    </row>
    <row r="9" spans="1:4">
      <c r="C9" s="1" t="s">
        <v>22</v>
      </c>
      <c r="D9">
        <f>SUM(D2:D7)</f>
        <v>3850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Kushagra Singh(BTECH10512.23@bitmesra.ac.in)</cp:lastModifiedBy>
  <cp:revision/>
  <dcterms:created xsi:type="dcterms:W3CDTF">2026-01-19T16:11:08Z</dcterms:created>
  <dcterms:modified xsi:type="dcterms:W3CDTF">2026-01-19T16:45:48Z</dcterms:modified>
  <cp:category/>
  <cp:contentStatus/>
</cp:coreProperties>
</file>